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C3A22A0-AC04-48B6-A865-50D86A8C7C6D}" xr6:coauthVersionLast="47" xr6:coauthVersionMax="47" xr10:uidLastSave="{00000000-0000-0000-0000-000000000000}"/>
  <bookViews>
    <workbookView xWindow="-108" yWindow="-108" windowWidth="23256" windowHeight="12456" activeTab="2" xr2:uid="{3D0D8C65-8728-47F6-BDF1-3FF5FDDF9F82}"/>
  </bookViews>
  <sheets>
    <sheet name="Income Statement" sheetId="1" r:id="rId1"/>
    <sheet name="Cash Flow" sheetId="2" r:id="rId2"/>
    <sheet name="Balance Sheet" sheetId="3" r:id="rId3"/>
    <sheet name="Assump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3" l="1"/>
  <c r="G17" i="2"/>
  <c r="G11" i="2"/>
  <c r="G6" i="2"/>
  <c r="G5" i="2"/>
  <c r="F20" i="3"/>
  <c r="F17" i="2"/>
  <c r="F11" i="2"/>
  <c r="F6" i="2"/>
  <c r="F5" i="2"/>
  <c r="E20" i="3"/>
  <c r="E17" i="2"/>
  <c r="E11" i="2"/>
  <c r="E6" i="2"/>
  <c r="E5" i="2"/>
  <c r="D20" i="3"/>
  <c r="D14" i="3"/>
  <c r="D13" i="3"/>
  <c r="D12" i="3"/>
  <c r="D8" i="3"/>
  <c r="D7" i="3"/>
  <c r="D6" i="3"/>
  <c r="D22" i="2"/>
  <c r="D18" i="2"/>
  <c r="D17" i="2"/>
  <c r="D12" i="2"/>
  <c r="D11" i="2"/>
  <c r="D7" i="2"/>
  <c r="D6" i="2"/>
  <c r="D5" i="2"/>
  <c r="D19" i="3"/>
  <c r="E19" i="3"/>
  <c r="C5" i="3"/>
  <c r="C5" i="2"/>
  <c r="C15" i="3"/>
  <c r="C19" i="2"/>
  <c r="C13" i="2"/>
  <c r="C18" i="2"/>
  <c r="C12" i="2"/>
  <c r="C7" i="2"/>
  <c r="C22" i="3"/>
  <c r="C20" i="3"/>
  <c r="C22" i="2"/>
  <c r="C17" i="2"/>
  <c r="C11" i="2"/>
  <c r="C6" i="2"/>
  <c r="C12" i="3"/>
  <c r="C14" i="3"/>
  <c r="C13" i="3"/>
  <c r="C8" i="3"/>
  <c r="C7" i="3"/>
  <c r="C6" i="3"/>
  <c r="C19" i="3"/>
  <c r="B22" i="3"/>
  <c r="B20" i="3"/>
  <c r="B15" i="3"/>
  <c r="B9" i="3"/>
  <c r="E8" i="1"/>
  <c r="D8" i="1"/>
  <c r="E5" i="1"/>
  <c r="D5" i="1"/>
  <c r="C5" i="1"/>
  <c r="G14" i="1"/>
  <c r="G13" i="1"/>
  <c r="G12" i="1"/>
  <c r="G11" i="1"/>
  <c r="G10" i="1"/>
  <c r="G9" i="1"/>
  <c r="G8" i="1"/>
  <c r="G7" i="1"/>
  <c r="G6" i="1"/>
  <c r="G5" i="1"/>
  <c r="G4" i="1"/>
  <c r="F14" i="1"/>
  <c r="F13" i="1"/>
  <c r="F12" i="1"/>
  <c r="F11" i="1"/>
  <c r="F10" i="1"/>
  <c r="F9" i="1"/>
  <c r="F8" i="1"/>
  <c r="F7" i="1"/>
  <c r="F6" i="1"/>
  <c r="F5" i="1"/>
  <c r="F4" i="1"/>
  <c r="C13" i="1"/>
  <c r="E14" i="1"/>
  <c r="E13" i="1"/>
  <c r="E12" i="1"/>
  <c r="E11" i="1"/>
  <c r="E10" i="1"/>
  <c r="E9" i="1"/>
  <c r="E6" i="1"/>
  <c r="E7" i="1"/>
  <c r="E4" i="1"/>
  <c r="D14" i="1"/>
  <c r="D13" i="1"/>
  <c r="D12" i="1"/>
  <c r="D11" i="1"/>
  <c r="D10" i="1"/>
  <c r="D9" i="1"/>
  <c r="D6" i="1"/>
  <c r="D7" i="1"/>
  <c r="D4" i="1"/>
  <c r="C8" i="1"/>
  <c r="C14" i="1"/>
  <c r="C12" i="1"/>
  <c r="C10" i="1"/>
  <c r="C11" i="1"/>
  <c r="C6" i="1"/>
  <c r="C9" i="1"/>
  <c r="C7" i="1"/>
  <c r="C4" i="1"/>
  <c r="B14" i="1"/>
  <c r="B6" i="1"/>
  <c r="B10" i="1"/>
  <c r="B8" i="1"/>
  <c r="E14" i="3" l="1"/>
  <c r="E13" i="3"/>
  <c r="F13" i="3" s="1"/>
  <c r="E12" i="3"/>
  <c r="E8" i="3"/>
  <c r="E7" i="3"/>
  <c r="F7" i="3" s="1"/>
  <c r="E6" i="3"/>
  <c r="D15" i="3"/>
  <c r="D22" i="3" s="1"/>
  <c r="D19" i="2"/>
  <c r="D13" i="2"/>
  <c r="D8" i="2"/>
  <c r="F19" i="3"/>
  <c r="G19" i="3" s="1"/>
  <c r="C8" i="2"/>
  <c r="C21" i="2"/>
  <c r="C23" i="2" s="1"/>
  <c r="C9" i="3" s="1"/>
  <c r="C23" i="3" s="1"/>
  <c r="B23" i="3"/>
  <c r="B12" i="1"/>
  <c r="F14" i="3" l="1"/>
  <c r="E18" i="2"/>
  <c r="E19" i="2" s="1"/>
  <c r="E15" i="3"/>
  <c r="E22" i="3" s="1"/>
  <c r="F12" i="3"/>
  <c r="F8" i="3"/>
  <c r="E12" i="2"/>
  <c r="E13" i="2" s="1"/>
  <c r="F6" i="3"/>
  <c r="E7" i="2"/>
  <c r="E8" i="2" s="1"/>
  <c r="D21" i="2"/>
  <c r="D23" i="2" s="1"/>
  <c r="D5" i="3" s="1"/>
  <c r="G13" i="3"/>
  <c r="G7" i="3"/>
  <c r="G14" i="3" l="1"/>
  <c r="G18" i="2" s="1"/>
  <c r="G19" i="2" s="1"/>
  <c r="F18" i="2"/>
  <c r="F19" i="2" s="1"/>
  <c r="F15" i="3"/>
  <c r="F22" i="3" s="1"/>
  <c r="G12" i="3"/>
  <c r="G15" i="3" s="1"/>
  <c r="G22" i="3" s="1"/>
  <c r="G8" i="3"/>
  <c r="G12" i="2" s="1"/>
  <c r="G13" i="2" s="1"/>
  <c r="F12" i="2"/>
  <c r="F13" i="2" s="1"/>
  <c r="F7" i="2"/>
  <c r="F8" i="2" s="1"/>
  <c r="F21" i="2" s="1"/>
  <c r="G6" i="3"/>
  <c r="E22" i="2"/>
  <c r="E23" i="2" s="1"/>
  <c r="E5" i="3" s="1"/>
  <c r="D9" i="3"/>
  <c r="D23" i="3" s="1"/>
  <c r="E21" i="2"/>
  <c r="E9" i="3" l="1"/>
  <c r="E23" i="3" s="1"/>
  <c r="F22" i="2"/>
  <c r="F23" i="2" s="1"/>
  <c r="F5" i="3" s="1"/>
  <c r="G7" i="2"/>
  <c r="G8" i="2" s="1"/>
  <c r="G21" i="2" s="1"/>
  <c r="F9" i="3" l="1"/>
  <c r="F23" i="3" s="1"/>
  <c r="G22" i="2"/>
  <c r="G23" i="2" s="1"/>
  <c r="G5" i="3" s="1"/>
  <c r="G9" i="3" s="1"/>
  <c r="G23" i="3" s="1"/>
</calcChain>
</file>

<file path=xl/sharedStrings.xml><?xml version="1.0" encoding="utf-8"?>
<sst xmlns="http://schemas.openxmlformats.org/spreadsheetml/2006/main" count="82" uniqueCount="65">
  <si>
    <t>Year</t>
  </si>
  <si>
    <t>Revenue</t>
  </si>
  <si>
    <t>Revenue Growth %</t>
  </si>
  <si>
    <t>Operating Expenses</t>
  </si>
  <si>
    <t>EBITDA</t>
  </si>
  <si>
    <t>EBITDA Margin %</t>
  </si>
  <si>
    <t>Less: D&amp;A</t>
  </si>
  <si>
    <t>EBIT</t>
  </si>
  <si>
    <t>Less: Interest</t>
  </si>
  <si>
    <t>EBT (Pre-Tax)</t>
  </si>
  <si>
    <t>Less: Tax</t>
  </si>
  <si>
    <t>Net Income</t>
  </si>
  <si>
    <t>FY2025(A)</t>
  </si>
  <si>
    <t>RIL — INCOME STATEMENT (₹ Cr)</t>
  </si>
  <si>
    <t>INCOME STATEMENT ASSUMPTIONS</t>
  </si>
  <si>
    <t>D&amp;A (% of Revenue)</t>
  </si>
  <si>
    <t>Interest (% of Revenue)</t>
  </si>
  <si>
    <t>Tax Rate %</t>
  </si>
  <si>
    <t>FY2026</t>
  </si>
  <si>
    <t>FY2027</t>
  </si>
  <si>
    <t>FY2028</t>
  </si>
  <si>
    <t>FY2029</t>
  </si>
  <si>
    <t>FY2030</t>
  </si>
  <si>
    <t>Driver</t>
  </si>
  <si>
    <t>FY2026(P)</t>
  </si>
  <si>
    <t>FY2027(P)</t>
  </si>
  <si>
    <t>FY2028(P)</t>
  </si>
  <si>
    <t>FY2029(P)</t>
  </si>
  <si>
    <t>FY2030(P)</t>
  </si>
  <si>
    <t>RIL — BALANCE SHEET (₹ Cr)</t>
  </si>
  <si>
    <t>ASSETS</t>
  </si>
  <si>
    <t>Cash &amp; Equivalents</t>
  </si>
  <si>
    <t>Other Current Assets</t>
  </si>
  <si>
    <t>Net Fixed Assets (PP&amp;E)</t>
  </si>
  <si>
    <t>Other Long-Term Assets</t>
  </si>
  <si>
    <t>Total Assets</t>
  </si>
  <si>
    <t>LIABILITIES</t>
  </si>
  <si>
    <t>Current Liabilities</t>
  </si>
  <si>
    <t>Debt</t>
  </si>
  <si>
    <t>Other Long-Term Liabilities</t>
  </si>
  <si>
    <t>Total Liabilities</t>
  </si>
  <si>
    <t>EQUITY</t>
  </si>
  <si>
    <t>Share Capital</t>
  </si>
  <si>
    <t>Retained Earnings</t>
  </si>
  <si>
    <t>Total Equity</t>
  </si>
  <si>
    <t>Total Liab. + Equity</t>
  </si>
  <si>
    <t>Check (Assets − L&amp;E)</t>
  </si>
  <si>
    <t>Capex (% of Revenue)</t>
  </si>
  <si>
    <t>RIL — CASH FLOW STATEMENT (₹ Cr)</t>
  </si>
  <si>
    <t>OPERATING ACTIVITIES</t>
  </si>
  <si>
    <t>Add: D&amp;A</t>
  </si>
  <si>
    <t>Change in Working Capital</t>
  </si>
  <si>
    <t>Cash from Operations</t>
  </si>
  <si>
    <t>INVESTING ACTIVITIES</t>
  </si>
  <si>
    <t>Less: Capex</t>
  </si>
  <si>
    <t>Cash from Investing</t>
  </si>
  <si>
    <t>FINANCING ACTIVITIES</t>
  </si>
  <si>
    <t>Change in Debt</t>
  </si>
  <si>
    <t>Less: Dividends</t>
  </si>
  <si>
    <t>Cash from Financing</t>
  </si>
  <si>
    <t>Net Change in Cash</t>
  </si>
  <si>
    <t>Beginning Cash</t>
  </si>
  <si>
    <t>Ending Cash</t>
  </si>
  <si>
    <t>Change in Other LT Assets</t>
  </si>
  <si>
    <t>Change in Other LT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</si>
</sst>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\₹###,##0;\(\₹###,##0\);&quot;-&quot;"/>
    <numFmt numFmtId="169" formatCode="0.0%;\(0.0%\);&quot;-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6" fillId="0" borderId="0" xfId="0" applyFont="1"/>
    <xf numFmtId="0" fontId="3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69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3" fillId="0" borderId="2" xfId="0" applyNumberFormat="1" applyFont="1" applyBorder="1" applyAlignment="1">
      <alignment horizontal="right"/>
    </xf>
    <xf numFmtId="168" fontId="3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9" fontId="4" fillId="0" borderId="0" xfId="0" applyNumberFormat="1" applyFont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8" fillId="0" borderId="0" xfId="0" applyFont="1"/>
    <xf numFmtId="168" fontId="7" fillId="0" borderId="2" xfId="0" applyNumberFormat="1" applyFont="1" applyBorder="1" applyAlignment="1">
      <alignment horizontal="right"/>
    </xf>
    <xf numFmtId="168" fontId="7" fillId="0" borderId="3" xfId="0" applyNumberFormat="1" applyFont="1" applyBorder="1" applyAlignment="1">
      <alignment horizontal="right"/>
    </xf>
    <xf numFmtId="168" fontId="9" fillId="0" borderId="0" xfId="0" applyNumberFormat="1" applyFont="1" applyAlignment="1">
      <alignment horizontal="right"/>
    </xf>
    <xf numFmtId="168" fontId="10" fillId="0" borderId="0" xfId="0" applyNumberFormat="1" applyFont="1" applyAlignment="1">
      <alignment horizontal="right"/>
    </xf>
    <xf numFmtId="0" fontId="3" fillId="0" borderId="0" xfId="0" applyFont="1"/>
    <xf numFmtId="168" fontId="4" fillId="0" borderId="4" xfId="0" applyNumberFormat="1" applyFont="1" applyBorder="1" applyAlignment="1">
      <alignment horizontal="right"/>
    </xf>
    <xf numFmtId="168" fontId="5" fillId="0" borderId="4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right"/>
    </xf>
    <xf numFmtId="168" fontId="3" fillId="0" borderId="0" xfId="0" applyNumberFormat="1" applyFont="1" applyBorder="1" applyAlignment="1">
      <alignment horizontal="right"/>
    </xf>
    <xf numFmtId="168" fontId="4" fillId="0" borderId="0" xfId="0" applyNumberFormat="1" applyFont="1" applyBorder="1" applyAlignment="1">
      <alignment horizontal="right"/>
    </xf>
    <xf numFmtId="168" fontId="5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A98E72-816D-4B16-8251-25EEF7DD5A3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9e06524-ae4b-4642-816a-05f08432d7d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BDEA-74CD-473F-8A29-0D165653E03A}">
  <dimension ref="A1:G14"/>
  <sheetViews>
    <sheetView workbookViewId="0">
      <selection activeCell="I19" sqref="I19"/>
    </sheetView>
  </sheetViews>
  <sheetFormatPr defaultRowHeight="14.4" x14ac:dyDescent="0.3"/>
  <cols>
    <col min="1" max="1" width="31.77734375" customWidth="1"/>
    <col min="2" max="7" width="16.21875" customWidth="1"/>
  </cols>
  <sheetData>
    <row r="1" spans="1:7" ht="15.6" x14ac:dyDescent="0.3">
      <c r="A1" s="3" t="s">
        <v>13</v>
      </c>
      <c r="B1" s="3"/>
      <c r="C1" s="3"/>
      <c r="D1" s="3"/>
      <c r="E1" s="3"/>
      <c r="F1" s="3"/>
      <c r="G1" s="3"/>
    </row>
    <row r="3" spans="1:7" ht="15" thickBot="1" x14ac:dyDescent="0.35">
      <c r="A3" s="7" t="s">
        <v>0</v>
      </c>
      <c r="B3" s="7" t="s">
        <v>12</v>
      </c>
      <c r="C3" s="15" t="s">
        <v>24</v>
      </c>
      <c r="D3" s="15" t="s">
        <v>25</v>
      </c>
      <c r="E3" s="15" t="s">
        <v>26</v>
      </c>
      <c r="F3" s="15" t="s">
        <v>27</v>
      </c>
      <c r="G3" s="15" t="s">
        <v>28</v>
      </c>
    </row>
    <row r="4" spans="1:7" x14ac:dyDescent="0.3">
      <c r="A4" t="s">
        <v>1</v>
      </c>
      <c r="B4" s="9">
        <v>1071174</v>
      </c>
      <c r="C4" s="10">
        <f>B4*(1+Assumptions!B3)</f>
        <v>1156867.9200000002</v>
      </c>
      <c r="D4" s="10">
        <f>C4*(1 +Assumptions!C3)</f>
        <v>1249417.3536000003</v>
      </c>
      <c r="E4" s="10">
        <f>D4*(1+Assumptions!D3)</f>
        <v>1343123.6551200002</v>
      </c>
      <c r="F4" s="10">
        <f>E4*(1+Assumptions!E3)</f>
        <v>1437142.3109784003</v>
      </c>
      <c r="G4" s="10">
        <f>F4*(1+Assumptions!F3)</f>
        <v>1537742.2727468885</v>
      </c>
    </row>
    <row r="5" spans="1:7" x14ac:dyDescent="0.3">
      <c r="A5" s="5" t="s">
        <v>2</v>
      </c>
      <c r="B5" s="8"/>
      <c r="C5" s="8">
        <f>Assumptions!B3</f>
        <v>0.08</v>
      </c>
      <c r="D5" s="8">
        <f>Assumptions!C3</f>
        <v>0.08</v>
      </c>
      <c r="E5" s="8">
        <f>Assumptions!D3</f>
        <v>7.4999999999999997E-2</v>
      </c>
      <c r="F5" s="8">
        <f>Assumptions!E3</f>
        <v>7.0000000000000007E-2</v>
      </c>
      <c r="G5" s="8">
        <f>Assumptions!F3</f>
        <v>7.0000000000000007E-2</v>
      </c>
    </row>
    <row r="6" spans="1:7" x14ac:dyDescent="0.3">
      <c r="A6" t="s">
        <v>3</v>
      </c>
      <c r="B6" s="9">
        <f>B4-B7</f>
        <v>887752</v>
      </c>
      <c r="C6" s="10">
        <f>C4-C7</f>
        <v>948631.69440000015</v>
      </c>
      <c r="D6" s="10">
        <f>D4-D7</f>
        <v>1018275.1431840002</v>
      </c>
      <c r="E6" s="10">
        <f>E4-E7</f>
        <v>1087930.1606472002</v>
      </c>
      <c r="F6" s="10">
        <f>F4-F7</f>
        <v>1164085.2718925043</v>
      </c>
      <c r="G6" s="10">
        <f>G4-G7</f>
        <v>1237882.5295612451</v>
      </c>
    </row>
    <row r="7" spans="1:7" x14ac:dyDescent="0.3">
      <c r="A7" s="1" t="s">
        <v>4</v>
      </c>
      <c r="B7" s="11">
        <v>183422</v>
      </c>
      <c r="C7" s="11">
        <f>C4*Assumptions!B4</f>
        <v>208236.22560000003</v>
      </c>
      <c r="D7" s="11">
        <f>D4*Assumptions!C4</f>
        <v>231142.21041600005</v>
      </c>
      <c r="E7" s="11">
        <f>E4*Assumptions!D4</f>
        <v>255193.49447280006</v>
      </c>
      <c r="F7" s="11">
        <f>F4*Assumptions!E4</f>
        <v>273057.03908589605</v>
      </c>
      <c r="G7" s="11">
        <f>G4*Assumptions!F4</f>
        <v>299859.74318564328</v>
      </c>
    </row>
    <row r="8" spans="1:7" x14ac:dyDescent="0.3">
      <c r="A8" s="5" t="s">
        <v>5</v>
      </c>
      <c r="B8" s="8">
        <f>(B4-B6)/B6</f>
        <v>0.20661400931791762</v>
      </c>
      <c r="C8" s="8">
        <f>Assumptions!B4</f>
        <v>0.18</v>
      </c>
      <c r="D8" s="8">
        <f>Assumptions!C4</f>
        <v>0.185</v>
      </c>
      <c r="E8" s="8">
        <f>Assumptions!D4</f>
        <v>0.19</v>
      </c>
      <c r="F8" s="8">
        <f>Assumptions!E4</f>
        <v>0.19</v>
      </c>
      <c r="G8" s="8">
        <f>Assumptions!F4</f>
        <v>0.19500000000000001</v>
      </c>
    </row>
    <row r="9" spans="1:7" x14ac:dyDescent="0.3">
      <c r="A9" t="s">
        <v>6</v>
      </c>
      <c r="B9" s="9">
        <v>53136</v>
      </c>
      <c r="C9" s="10">
        <f>C4*Assumptions!B5</f>
        <v>57843.396000000008</v>
      </c>
      <c r="D9" s="10">
        <f>D4*Assumptions!C5</f>
        <v>62470.867680000018</v>
      </c>
      <c r="E9" s="10">
        <f>E4*Assumptions!D5</f>
        <v>67156.182756000009</v>
      </c>
      <c r="F9" s="10">
        <f>F4*Assumptions!E5</f>
        <v>71857.115548920017</v>
      </c>
      <c r="G9" s="10">
        <f>G4*Assumptions!F5</f>
        <v>76887.113637344431</v>
      </c>
    </row>
    <row r="10" spans="1:7" x14ac:dyDescent="0.3">
      <c r="A10" s="1" t="s">
        <v>7</v>
      </c>
      <c r="B10" s="11">
        <f>B7-B9</f>
        <v>130286</v>
      </c>
      <c r="C10" s="11">
        <f>C7-C9</f>
        <v>150392.82960000003</v>
      </c>
      <c r="D10" s="11">
        <f>D7-D9</f>
        <v>168671.34273600002</v>
      </c>
      <c r="E10" s="11">
        <f>E7-E9</f>
        <v>188037.31171680003</v>
      </c>
      <c r="F10" s="11">
        <f>F7-F9</f>
        <v>201199.92353697604</v>
      </c>
      <c r="G10" s="11">
        <f>G7-G9</f>
        <v>222972.62954829884</v>
      </c>
    </row>
    <row r="11" spans="1:7" x14ac:dyDescent="0.3">
      <c r="A11" t="s">
        <v>8</v>
      </c>
      <c r="B11" s="9">
        <v>24269</v>
      </c>
      <c r="C11" s="10">
        <f>C4*Assumptions!B6</f>
        <v>26029.528200000004</v>
      </c>
      <c r="D11" s="10">
        <f>D4*Assumptions!C6</f>
        <v>27487.181779200004</v>
      </c>
      <c r="E11" s="10">
        <f>E4*Assumptions!D6</f>
        <v>28205.596757520008</v>
      </c>
      <c r="F11" s="10">
        <f>F4*Assumptions!E6</f>
        <v>28742.846219568008</v>
      </c>
      <c r="G11" s="10">
        <f>G4*Assumptions!F6</f>
        <v>30754.845454937771</v>
      </c>
    </row>
    <row r="12" spans="1:7" x14ac:dyDescent="0.3">
      <c r="A12" s="1" t="s">
        <v>9</v>
      </c>
      <c r="B12" s="11">
        <f>B10-B11</f>
        <v>106017</v>
      </c>
      <c r="C12" s="11">
        <f>C10-C11</f>
        <v>124363.30140000003</v>
      </c>
      <c r="D12" s="11">
        <f>D10-D11</f>
        <v>141184.16095680001</v>
      </c>
      <c r="E12" s="11">
        <f>E10-E11</f>
        <v>159831.71495928001</v>
      </c>
      <c r="F12" s="11">
        <f>F10-F11</f>
        <v>172457.07731740802</v>
      </c>
      <c r="G12" s="11">
        <f>G10-G11</f>
        <v>192217.78409336106</v>
      </c>
    </row>
    <row r="13" spans="1:7" x14ac:dyDescent="0.3">
      <c r="A13" t="s">
        <v>10</v>
      </c>
      <c r="B13" s="9">
        <v>25230</v>
      </c>
      <c r="C13" s="10">
        <f>C12*Assumptions!B7</f>
        <v>29225.375829000004</v>
      </c>
      <c r="D13" s="10">
        <f>D12*Assumptions!C7</f>
        <v>33178.277824848003</v>
      </c>
      <c r="E13" s="10">
        <f>E12*Assumptions!D7</f>
        <v>37560.453015430801</v>
      </c>
      <c r="F13" s="10">
        <f>F12*Assumptions!E7</f>
        <v>40527.41316959088</v>
      </c>
      <c r="G13" s="10">
        <f>G12*Assumptions!F7</f>
        <v>45171.179261939847</v>
      </c>
    </row>
    <row r="14" spans="1:7" x14ac:dyDescent="0.3">
      <c r="A14" s="1" t="s">
        <v>11</v>
      </c>
      <c r="B14" s="12">
        <f>B12-B13</f>
        <v>80787</v>
      </c>
      <c r="C14" s="12">
        <f>C12-C13</f>
        <v>95137.925571000029</v>
      </c>
      <c r="D14" s="12">
        <f>D12-D13</f>
        <v>108005.88313195201</v>
      </c>
      <c r="E14" s="12">
        <f>E12-E13</f>
        <v>122271.26194384921</v>
      </c>
      <c r="F14" s="12">
        <f>F12-F13</f>
        <v>131929.66414781715</v>
      </c>
      <c r="G14" s="12">
        <f>G12-G13</f>
        <v>147046.60483142122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0652-A301-4BD1-9963-4AABEFA432A0}">
  <dimension ref="A1:G23"/>
  <sheetViews>
    <sheetView topLeftCell="A2" workbookViewId="0">
      <selection activeCell="I12" sqref="I12"/>
    </sheetView>
  </sheetViews>
  <sheetFormatPr defaultRowHeight="14.4" x14ac:dyDescent="0.3"/>
  <cols>
    <col min="1" max="1" width="31.77734375" customWidth="1"/>
    <col min="2" max="7" width="16.21875" customWidth="1"/>
  </cols>
  <sheetData>
    <row r="1" spans="1:7" ht="15.6" x14ac:dyDescent="0.3">
      <c r="A1" s="2" t="s">
        <v>48</v>
      </c>
      <c r="B1" s="2"/>
      <c r="C1" s="2"/>
      <c r="D1" s="2"/>
      <c r="E1" s="2"/>
      <c r="F1" s="2"/>
      <c r="G1" s="2"/>
    </row>
    <row r="3" spans="1:7" ht="15" thickBot="1" x14ac:dyDescent="0.35">
      <c r="A3" s="6" t="s">
        <v>0</v>
      </c>
      <c r="B3" s="15" t="s">
        <v>12</v>
      </c>
      <c r="C3" s="15" t="s">
        <v>24</v>
      </c>
      <c r="D3" s="15" t="s">
        <v>25</v>
      </c>
      <c r="E3" s="15" t="s">
        <v>26</v>
      </c>
      <c r="F3" s="15" t="s">
        <v>27</v>
      </c>
      <c r="G3" s="15" t="s">
        <v>28</v>
      </c>
    </row>
    <row r="4" spans="1:7" x14ac:dyDescent="0.3">
      <c r="A4" s="4" t="s">
        <v>49</v>
      </c>
      <c r="B4" s="4"/>
      <c r="C4" s="4"/>
      <c r="D4" s="4"/>
      <c r="E4" s="4"/>
      <c r="F4" s="4"/>
      <c r="G4" s="4"/>
    </row>
    <row r="5" spans="1:7" x14ac:dyDescent="0.3">
      <c r="A5" s="13" t="s">
        <v>11</v>
      </c>
      <c r="B5" s="9"/>
      <c r="C5" s="10">
        <f>'Income Statement'!C14</f>
        <v>95137.925571000029</v>
      </c>
      <c r="D5" s="10">
        <f>'Income Statement'!D14</f>
        <v>108005.88313195201</v>
      </c>
      <c r="E5" s="10">
        <f>'Income Statement'!E14</f>
        <v>122271.26194384921</v>
      </c>
      <c r="F5" s="10">
        <f>'Income Statement'!F14</f>
        <v>131929.66414781715</v>
      </c>
      <c r="G5" s="10">
        <f>'Income Statement'!G14</f>
        <v>147046.60483142122</v>
      </c>
    </row>
    <row r="6" spans="1:7" x14ac:dyDescent="0.3">
      <c r="A6" s="13" t="s">
        <v>50</v>
      </c>
      <c r="B6" s="9"/>
      <c r="C6" s="10">
        <f>'Income Statement'!C9</f>
        <v>57843.396000000008</v>
      </c>
      <c r="D6" s="10">
        <f>'Income Statement'!D9</f>
        <v>62470.867680000018</v>
      </c>
      <c r="E6" s="10">
        <f>'Income Statement'!E9</f>
        <v>67156.182756000009</v>
      </c>
      <c r="F6" s="10">
        <f>'Income Statement'!F9</f>
        <v>71857.115548920017</v>
      </c>
      <c r="G6" s="10">
        <f>'Income Statement'!G9</f>
        <v>76887.113637344431</v>
      </c>
    </row>
    <row r="7" spans="1:7" x14ac:dyDescent="0.3">
      <c r="A7" s="13" t="s">
        <v>51</v>
      </c>
      <c r="B7" s="9"/>
      <c r="C7" s="10">
        <f>-('Balance Sheet'!C6-'Balance Sheet'!B6)+('Balance Sheet'!C12-'Balance Sheet'!B12)</f>
        <v>14701.520000000019</v>
      </c>
      <c r="D7" s="10">
        <f>-('Balance Sheet'!D6-'Balance Sheet'!C6)+('Balance Sheet'!D12-'Balance Sheet'!C12)</f>
        <v>15877.641600000032</v>
      </c>
      <c r="E7" s="10">
        <f>-('Balance Sheet'!E6-'Balance Sheet'!D6)+('Balance Sheet'!E12-'Balance Sheet'!D12)</f>
        <v>16076.112120000005</v>
      </c>
      <c r="F7" s="10">
        <f>-('Balance Sheet'!F6-'Balance Sheet'!E6)+('Balance Sheet'!F12-'Balance Sheet'!E12)</f>
        <v>16129.699160400021</v>
      </c>
      <c r="G7" s="10">
        <f>-('Balance Sheet'!G6-'Balance Sheet'!F6)+('Balance Sheet'!G12-'Balance Sheet'!F12)</f>
        <v>17258.778101627948</v>
      </c>
    </row>
    <row r="8" spans="1:7" x14ac:dyDescent="0.3">
      <c r="A8" s="21" t="s">
        <v>52</v>
      </c>
      <c r="B8" s="17"/>
      <c r="C8" s="11">
        <f>C5+C6+C7</f>
        <v>167682.84157100006</v>
      </c>
      <c r="D8" s="11">
        <f>D5+D6+D7</f>
        <v>186354.39241195205</v>
      </c>
      <c r="E8" s="11">
        <f>E5+E6+E7</f>
        <v>205503.55681984924</v>
      </c>
      <c r="F8" s="11">
        <f>F5+F6+F7</f>
        <v>219916.4788571372</v>
      </c>
      <c r="G8" s="11">
        <f>G5+G6+G7</f>
        <v>241192.49657039362</v>
      </c>
    </row>
    <row r="10" spans="1:7" x14ac:dyDescent="0.3">
      <c r="A10" s="4" t="s">
        <v>53</v>
      </c>
      <c r="B10" s="4"/>
      <c r="C10" s="4"/>
      <c r="D10" s="4"/>
      <c r="E10" s="4"/>
      <c r="F10" s="4"/>
      <c r="G10" s="4"/>
    </row>
    <row r="11" spans="1:7" x14ac:dyDescent="0.3">
      <c r="A11" s="13" t="s">
        <v>54</v>
      </c>
      <c r="B11" s="26"/>
      <c r="C11" s="27">
        <f>-'Income Statement'!C4*Assumptions!B8</f>
        <v>-138824.15040000001</v>
      </c>
      <c r="D11" s="27">
        <f>-'Income Statement'!D4*Assumptions!C8</f>
        <v>-143682.99566400005</v>
      </c>
      <c r="E11" s="27">
        <f>-'Income Statement'!E4*Assumptions!D8</f>
        <v>-147743.60206320003</v>
      </c>
      <c r="F11" s="27">
        <f>-'Income Statement'!F4*Assumptions!E8</f>
        <v>-150899.94265273202</v>
      </c>
      <c r="G11" s="27">
        <f>-'Income Statement'!G4*Assumptions!F8</f>
        <v>-153774.22727468886</v>
      </c>
    </row>
    <row r="12" spans="1:7" x14ac:dyDescent="0.3">
      <c r="A12" s="13" t="s">
        <v>63</v>
      </c>
      <c r="B12" s="22"/>
      <c r="C12" s="23">
        <f>-('Balance Sheet'!C8-'Balance Sheet'!B8)</f>
        <v>-47843.119999999995</v>
      </c>
      <c r="D12" s="23">
        <f>-('Balance Sheet'!D8-'Balance Sheet'!C8)</f>
        <v>-51670.569600000046</v>
      </c>
      <c r="E12" s="23">
        <f>-('Balance Sheet'!E8-'Balance Sheet'!D8)</f>
        <v>-52316.451720000012</v>
      </c>
      <c r="F12" s="23">
        <f>-('Balance Sheet'!F8-'Balance Sheet'!E8)</f>
        <v>-52490.839892400079</v>
      </c>
      <c r="G12" s="23">
        <f>-('Balance Sheet'!G8-'Balance Sheet'!F8)</f>
        <v>-56165.198684868054</v>
      </c>
    </row>
    <row r="13" spans="1:7" x14ac:dyDescent="0.3">
      <c r="A13" s="21" t="s">
        <v>55</v>
      </c>
      <c r="B13" s="24"/>
      <c r="C13" s="25">
        <f>C11+C12</f>
        <v>-186667.27040000001</v>
      </c>
      <c r="D13" s="25">
        <f>D11+D12</f>
        <v>-195353.56526400009</v>
      </c>
      <c r="E13" s="25">
        <f>E11+E12</f>
        <v>-200060.05378320004</v>
      </c>
      <c r="F13" s="25">
        <f>F11+F12</f>
        <v>-203390.7825451321</v>
      </c>
      <c r="G13" s="25">
        <f>G11+G12</f>
        <v>-209939.42595955692</v>
      </c>
    </row>
    <row r="15" spans="1:7" x14ac:dyDescent="0.3">
      <c r="A15" s="4" t="s">
        <v>56</v>
      </c>
      <c r="B15" s="4"/>
      <c r="C15" s="4"/>
      <c r="D15" s="4"/>
      <c r="E15" s="4"/>
      <c r="F15" s="4"/>
      <c r="G15" s="4"/>
    </row>
    <row r="16" spans="1:7" x14ac:dyDescent="0.3">
      <c r="A16" s="13" t="s">
        <v>57</v>
      </c>
      <c r="B16" s="9"/>
      <c r="C16" s="10">
        <v>0</v>
      </c>
      <c r="D16" s="10">
        <v>0</v>
      </c>
      <c r="E16" s="10">
        <v>0</v>
      </c>
      <c r="F16" s="10">
        <v>0</v>
      </c>
      <c r="G16" s="10">
        <v>0</v>
      </c>
    </row>
    <row r="17" spans="1:7" x14ac:dyDescent="0.3">
      <c r="A17" s="13" t="s">
        <v>58</v>
      </c>
      <c r="B17" s="26"/>
      <c r="C17" s="27">
        <f>-'Income Statement'!C14*0.1</f>
        <v>-9513.7925571000033</v>
      </c>
      <c r="D17" s="27">
        <f>-'Income Statement'!D14*0.1</f>
        <v>-10800.588313195201</v>
      </c>
      <c r="E17" s="27">
        <f>-'Income Statement'!E14*0.1</f>
        <v>-12227.126194384922</v>
      </c>
      <c r="F17" s="27">
        <f>-'Income Statement'!F14*0.1</f>
        <v>-13192.966414781717</v>
      </c>
      <c r="G17" s="27">
        <f>-'Income Statement'!G14*0.1</f>
        <v>-14704.660483142123</v>
      </c>
    </row>
    <row r="18" spans="1:7" x14ac:dyDescent="0.3">
      <c r="A18" s="13" t="s">
        <v>64</v>
      </c>
      <c r="B18" s="22"/>
      <c r="C18" s="23">
        <f>'Balance Sheet'!C14-'Balance Sheet'!B14</f>
        <v>19988.72000000003</v>
      </c>
      <c r="D18" s="23">
        <f>'Balance Sheet'!D14-'Balance Sheet'!C14</f>
        <v>21587.817600000009</v>
      </c>
      <c r="E18" s="23">
        <f>'Balance Sheet'!E14-'Balance Sheet'!D14</f>
        <v>21857.665319999971</v>
      </c>
      <c r="F18" s="23">
        <f>'Balance Sheet'!F14-'Balance Sheet'!E14</f>
        <v>21930.524204400019</v>
      </c>
      <c r="G18" s="23">
        <f>'Balance Sheet'!G14-'Balance Sheet'!F14</f>
        <v>23465.66089870804</v>
      </c>
    </row>
    <row r="19" spans="1:7" x14ac:dyDescent="0.3">
      <c r="A19" s="21" t="s">
        <v>59</v>
      </c>
      <c r="B19" s="24"/>
      <c r="C19" s="25">
        <f>C16+C17+C18</f>
        <v>10474.927442900027</v>
      </c>
      <c r="D19" s="25">
        <f>D16+D17+D18</f>
        <v>10787.229286804808</v>
      </c>
      <c r="E19" s="25">
        <f>E16+E17+E18</f>
        <v>9630.5391256150488</v>
      </c>
      <c r="F19" s="25">
        <f>F16+F17+F18</f>
        <v>8737.5577896183022</v>
      </c>
      <c r="G19" s="25">
        <f>G16+G17+G18</f>
        <v>8761.0004155659171</v>
      </c>
    </row>
    <row r="21" spans="1:7" x14ac:dyDescent="0.3">
      <c r="A21" s="21" t="s">
        <v>60</v>
      </c>
      <c r="B21" s="17"/>
      <c r="C21" s="11">
        <f>C8+C13+C19</f>
        <v>-8509.5013860999261</v>
      </c>
      <c r="D21" s="11">
        <f>D8+D13+D19</f>
        <v>1788.0564347567688</v>
      </c>
      <c r="E21" s="11">
        <f>E8+E13+E19</f>
        <v>15074.042162264248</v>
      </c>
      <c r="F21" s="11">
        <f>F8+F13+F19</f>
        <v>25263.25410162341</v>
      </c>
      <c r="G21" s="11">
        <f>G8+G13+G19</f>
        <v>40014.07102640262</v>
      </c>
    </row>
    <row r="22" spans="1:7" x14ac:dyDescent="0.3">
      <c r="A22" s="13" t="s">
        <v>61</v>
      </c>
      <c r="B22" s="9"/>
      <c r="C22" s="10">
        <f>'Balance Sheet'!B5</f>
        <v>229302</v>
      </c>
      <c r="D22" s="10">
        <f>'Balance Sheet'!C5</f>
        <v>220792.49861390007</v>
      </c>
      <c r="E22" s="10">
        <f>'Balance Sheet'!D5</f>
        <v>222580.55504865682</v>
      </c>
      <c r="F22" s="10">
        <f>'Balance Sheet'!E5</f>
        <v>237654.59721092109</v>
      </c>
      <c r="G22" s="10">
        <f>'Balance Sheet'!F5</f>
        <v>262917.85131254449</v>
      </c>
    </row>
    <row r="23" spans="1:7" x14ac:dyDescent="0.3">
      <c r="A23" s="21" t="s">
        <v>62</v>
      </c>
      <c r="B23" s="18"/>
      <c r="C23" s="12">
        <f>C22+C21</f>
        <v>220792.49861390007</v>
      </c>
      <c r="D23" s="12">
        <f>D22+D21</f>
        <v>222580.55504865682</v>
      </c>
      <c r="E23" s="12">
        <f>E22+E21</f>
        <v>237654.59721092109</v>
      </c>
      <c r="F23" s="12">
        <f>F22+F21</f>
        <v>262917.85131254449</v>
      </c>
      <c r="G23" s="12">
        <f>G22+G21</f>
        <v>302931.92233894713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8EA8-0A6F-4690-8792-AB0FEA2F47DA}">
  <dimension ref="A1:G23"/>
  <sheetViews>
    <sheetView tabSelected="1" topLeftCell="A2" workbookViewId="0">
      <selection activeCell="I21" sqref="I21"/>
    </sheetView>
  </sheetViews>
  <sheetFormatPr defaultRowHeight="14.4" x14ac:dyDescent="0.3"/>
  <cols>
    <col min="1" max="1" width="31.77734375" customWidth="1"/>
    <col min="2" max="7" width="16.21875" customWidth="1"/>
  </cols>
  <sheetData>
    <row r="1" spans="1:7" ht="15.6" x14ac:dyDescent="0.3">
      <c r="A1" s="2" t="s">
        <v>29</v>
      </c>
      <c r="B1" s="2"/>
      <c r="C1" s="2"/>
      <c r="D1" s="2"/>
      <c r="E1" s="2"/>
      <c r="F1" s="2"/>
      <c r="G1" s="2"/>
    </row>
    <row r="3" spans="1:7" ht="15" thickBot="1" x14ac:dyDescent="0.35">
      <c r="A3" s="6" t="s">
        <v>0</v>
      </c>
      <c r="B3" s="15" t="s">
        <v>12</v>
      </c>
      <c r="C3" s="15" t="s">
        <v>24</v>
      </c>
      <c r="D3" s="15" t="s">
        <v>25</v>
      </c>
      <c r="E3" s="15" t="s">
        <v>26</v>
      </c>
      <c r="F3" s="15" t="s">
        <v>27</v>
      </c>
      <c r="G3" s="15" t="s">
        <v>28</v>
      </c>
    </row>
    <row r="4" spans="1:7" x14ac:dyDescent="0.3">
      <c r="A4" s="4" t="s">
        <v>30</v>
      </c>
      <c r="B4" s="4"/>
      <c r="C4" s="4"/>
      <c r="D4" s="4"/>
      <c r="E4" s="4"/>
      <c r="F4" s="4"/>
      <c r="G4" s="4"/>
    </row>
    <row r="5" spans="1:7" x14ac:dyDescent="0.3">
      <c r="A5" s="13" t="s">
        <v>31</v>
      </c>
      <c r="B5" s="9">
        <v>229302</v>
      </c>
      <c r="C5" s="10">
        <f>'Cash Flow'!C23</f>
        <v>220792.49861390007</v>
      </c>
      <c r="D5" s="10">
        <f>'Cash Flow'!D23</f>
        <v>222580.55504865682</v>
      </c>
      <c r="E5" s="10">
        <f>'Cash Flow'!E23</f>
        <v>237654.59721092109</v>
      </c>
      <c r="F5" s="10">
        <f>'Cash Flow'!F23</f>
        <v>262917.85131254449</v>
      </c>
      <c r="G5" s="10">
        <f>'Cash Flow'!G23</f>
        <v>302931.92233894713</v>
      </c>
    </row>
    <row r="6" spans="1:7" x14ac:dyDescent="0.3">
      <c r="A6" s="13" t="s">
        <v>32</v>
      </c>
      <c r="B6" s="9">
        <v>269968</v>
      </c>
      <c r="C6" s="10">
        <f>B6*(1+'Income Statement'!C5)</f>
        <v>291565.44</v>
      </c>
      <c r="D6" s="10">
        <f>C6*(1+'Income Statement'!D5)</f>
        <v>314890.6752</v>
      </c>
      <c r="E6" s="10">
        <f>D6*(1+'Income Statement'!E5)</f>
        <v>338507.47583999997</v>
      </c>
      <c r="F6" s="10">
        <f>E6*(1+'Income Statement'!F5)</f>
        <v>362202.99914879998</v>
      </c>
      <c r="G6" s="10">
        <f>F6*(1+'Income Statement'!G5)</f>
        <v>387557.20908921602</v>
      </c>
    </row>
    <row r="7" spans="1:7" x14ac:dyDescent="0.3">
      <c r="A7" s="13" t="s">
        <v>33</v>
      </c>
      <c r="B7" s="9">
        <v>852812</v>
      </c>
      <c r="C7" s="10">
        <f>B7+'Income Statement'!C4*Assumptions!B8-'Income Statement'!C9</f>
        <v>933792.75439999998</v>
      </c>
      <c r="D7" s="10">
        <f>C7+'Income Statement'!D4*Assumptions!C8-'Income Statement'!D9</f>
        <v>1015004.882384</v>
      </c>
      <c r="E7" s="10">
        <f>D7+'Income Statement'!E4*Assumptions!D8-'Income Statement'!E9</f>
        <v>1095592.3016912001</v>
      </c>
      <c r="F7" s="10">
        <f>E7+'Income Statement'!F4*Assumptions!E8-'Income Statement'!F9</f>
        <v>1174635.1287950121</v>
      </c>
      <c r="G7" s="10">
        <f>F7+'Income Statement'!G4*Assumptions!F8-'Income Statement'!G9</f>
        <v>1251522.2424323566</v>
      </c>
    </row>
    <row r="8" spans="1:7" x14ac:dyDescent="0.3">
      <c r="A8" s="13" t="s">
        <v>34</v>
      </c>
      <c r="B8" s="9">
        <v>598039</v>
      </c>
      <c r="C8" s="10">
        <f>B8*(1+'Income Statement'!C5)</f>
        <v>645882.12</v>
      </c>
      <c r="D8" s="10">
        <f>C8*(1+'Income Statement'!D5)</f>
        <v>697552.68960000004</v>
      </c>
      <c r="E8" s="10">
        <f>D8*(1+'Income Statement'!E5)</f>
        <v>749869.14132000005</v>
      </c>
      <c r="F8" s="10">
        <f>E8*(1+'Income Statement'!F5)</f>
        <v>802359.98121240013</v>
      </c>
      <c r="G8" s="10">
        <f>F8*(1+'Income Statement'!G5)</f>
        <v>858525.17989726819</v>
      </c>
    </row>
    <row r="9" spans="1:7" x14ac:dyDescent="0.3">
      <c r="A9" s="1" t="s">
        <v>35</v>
      </c>
      <c r="B9" s="17">
        <f>B5+B6+B7+B8</f>
        <v>1950121</v>
      </c>
      <c r="C9" s="11">
        <f>C5+C6+C7+C8</f>
        <v>2092032.8130139001</v>
      </c>
      <c r="D9" s="11">
        <f>D5+D6+D7+D8</f>
        <v>2250028.8022326571</v>
      </c>
      <c r="E9" s="11">
        <f>E5+E6+E7+E8</f>
        <v>2421623.5160621214</v>
      </c>
      <c r="F9" s="11">
        <f>F5+F6+F7+F8</f>
        <v>2602115.960468757</v>
      </c>
      <c r="G9" s="11">
        <f>G5+G6+G7+G8</f>
        <v>2800536.5537577881</v>
      </c>
    </row>
    <row r="10" spans="1:7" x14ac:dyDescent="0.3">
      <c r="D10" s="1"/>
    </row>
    <row r="11" spans="1:7" x14ac:dyDescent="0.3">
      <c r="A11" s="4" t="s">
        <v>36</v>
      </c>
      <c r="B11" s="4"/>
      <c r="C11" s="4"/>
      <c r="D11" s="4"/>
      <c r="E11" s="4"/>
      <c r="F11" s="4"/>
      <c r="G11" s="4"/>
    </row>
    <row r="12" spans="1:7" x14ac:dyDescent="0.3">
      <c r="A12" s="13" t="s">
        <v>37</v>
      </c>
      <c r="B12" s="9">
        <v>453737</v>
      </c>
      <c r="C12" s="10">
        <f>B12*(1+'Income Statement'!C5)</f>
        <v>490035.96</v>
      </c>
      <c r="D12" s="10">
        <f>C12*(1+'Income Statement'!D5)</f>
        <v>529238.83680000005</v>
      </c>
      <c r="E12" s="10">
        <f>D12*(1+'Income Statement'!E5)</f>
        <v>568931.74956000003</v>
      </c>
      <c r="F12" s="10">
        <f>E12*(1+'Income Statement'!F5)</f>
        <v>608756.97202920006</v>
      </c>
      <c r="G12" s="10">
        <f>F12*(1+'Income Statement'!G5)</f>
        <v>651369.96007124404</v>
      </c>
    </row>
    <row r="13" spans="1:7" x14ac:dyDescent="0.3">
      <c r="A13" s="13" t="s">
        <v>38</v>
      </c>
      <c r="B13" s="9">
        <v>236899</v>
      </c>
      <c r="C13" s="10">
        <f>B13</f>
        <v>236899</v>
      </c>
      <c r="D13" s="10">
        <f>C13</f>
        <v>236899</v>
      </c>
      <c r="E13" s="10">
        <f>D13</f>
        <v>236899</v>
      </c>
      <c r="F13" s="10">
        <f>E13</f>
        <v>236899</v>
      </c>
      <c r="G13" s="10">
        <f>F13</f>
        <v>236899</v>
      </c>
    </row>
    <row r="14" spans="1:7" x14ac:dyDescent="0.3">
      <c r="A14" s="13" t="s">
        <v>39</v>
      </c>
      <c r="B14" s="9">
        <v>249859</v>
      </c>
      <c r="C14" s="10">
        <f>B14*(1+'Income Statement'!C5)</f>
        <v>269847.72000000003</v>
      </c>
      <c r="D14" s="10">
        <f>C14*(1+'Income Statement'!D5)</f>
        <v>291435.53760000004</v>
      </c>
      <c r="E14" s="10">
        <f>D14*(1+'Income Statement'!E5)</f>
        <v>313293.20292000001</v>
      </c>
      <c r="F14" s="10">
        <f>E14*(1+'Income Statement'!F5)</f>
        <v>335223.72712440003</v>
      </c>
      <c r="G14" s="10">
        <f>F14*(1+'Income Statement'!G5)</f>
        <v>358689.38802310807</v>
      </c>
    </row>
    <row r="15" spans="1:7" x14ac:dyDescent="0.3">
      <c r="A15" s="1" t="s">
        <v>40</v>
      </c>
      <c r="B15" s="17">
        <f>B12+B13+B14</f>
        <v>940495</v>
      </c>
      <c r="C15" s="11">
        <f>C12+C13+C14</f>
        <v>996782.67999999993</v>
      </c>
      <c r="D15" s="11">
        <f>D12+D13+D14</f>
        <v>1057573.3744000001</v>
      </c>
      <c r="E15" s="11">
        <f>E12+E13+E14</f>
        <v>1119123.95248</v>
      </c>
      <c r="F15" s="11">
        <f>F12+F13+F14</f>
        <v>1180879.6991536</v>
      </c>
      <c r="G15" s="11">
        <f>G12+G13+G14</f>
        <v>1246958.3480943521</v>
      </c>
    </row>
    <row r="17" spans="1:7" x14ac:dyDescent="0.3">
      <c r="A17" s="4" t="s">
        <v>41</v>
      </c>
      <c r="B17" s="4"/>
      <c r="C17" s="4"/>
      <c r="D17" s="4"/>
      <c r="E17" s="4"/>
      <c r="F17" s="4"/>
      <c r="G17" s="4"/>
    </row>
    <row r="18" spans="1:7" x14ac:dyDescent="0.3">
      <c r="A18" s="13" t="s">
        <v>42</v>
      </c>
      <c r="B18" s="9">
        <v>106636</v>
      </c>
      <c r="C18" s="9">
        <v>106636</v>
      </c>
      <c r="D18" s="9">
        <v>106636</v>
      </c>
      <c r="E18" s="9">
        <v>106636</v>
      </c>
      <c r="F18" s="9">
        <v>106636</v>
      </c>
      <c r="G18" s="9">
        <v>106636</v>
      </c>
    </row>
    <row r="19" spans="1:7" x14ac:dyDescent="0.3">
      <c r="A19" s="13" t="s">
        <v>43</v>
      </c>
      <c r="B19" s="9">
        <v>902990</v>
      </c>
      <c r="C19" s="10">
        <f>B19+'Income Statement'!C14*(1-0.1)</f>
        <v>988614.13301390002</v>
      </c>
      <c r="D19" s="10">
        <f>C19+'Income Statement'!D14*(1-0.1)</f>
        <v>1085819.4278326568</v>
      </c>
      <c r="E19" s="10">
        <f>D19+'Income Statement'!E14*(1-0.1)</f>
        <v>1195863.5635821212</v>
      </c>
      <c r="F19" s="10">
        <f>E19+'Income Statement'!F14*(1-0.1)</f>
        <v>1314600.2613151567</v>
      </c>
      <c r="G19" s="10">
        <f>F19+'Income Statement'!G14*(1-0.1)</f>
        <v>1446942.2056634359</v>
      </c>
    </row>
    <row r="20" spans="1:7" x14ac:dyDescent="0.3">
      <c r="A20" s="1" t="s">
        <v>44</v>
      </c>
      <c r="B20" s="17">
        <f>B18+B19</f>
        <v>1009626</v>
      </c>
      <c r="C20" s="11">
        <f>C18+C19</f>
        <v>1095250.1330138999</v>
      </c>
      <c r="D20" s="11">
        <f>D18+D19</f>
        <v>1192455.4278326568</v>
      </c>
      <c r="E20" s="11">
        <f>E18+E19</f>
        <v>1302499.5635821212</v>
      </c>
      <c r="F20" s="11">
        <f>F18+F19</f>
        <v>1421236.2613151567</v>
      </c>
      <c r="G20" s="11">
        <f>G18+G19</f>
        <v>1553578.2056634359</v>
      </c>
    </row>
    <row r="22" spans="1:7" x14ac:dyDescent="0.3">
      <c r="A22" s="1" t="s">
        <v>45</v>
      </c>
      <c r="B22" s="18">
        <f>B15+B20</f>
        <v>1950121</v>
      </c>
      <c r="C22" s="12">
        <f>C15+C20</f>
        <v>2092032.8130138998</v>
      </c>
      <c r="D22" s="12">
        <f>D15+D20</f>
        <v>2250028.8022326566</v>
      </c>
      <c r="E22" s="12">
        <f>E15+E20</f>
        <v>2421623.5160621209</v>
      </c>
      <c r="F22" s="12">
        <f>F15+F20</f>
        <v>2602115.960468757</v>
      </c>
      <c r="G22" s="12">
        <f>G15+G20</f>
        <v>2800536.5537577877</v>
      </c>
    </row>
    <row r="23" spans="1:7" x14ac:dyDescent="0.3">
      <c r="A23" s="16" t="s">
        <v>46</v>
      </c>
      <c r="B23" s="19">
        <f>B9-B22</f>
        <v>0</v>
      </c>
      <c r="C23" s="20">
        <f>C9-C22</f>
        <v>0</v>
      </c>
      <c r="D23" s="20">
        <f>D9-D22</f>
        <v>0</v>
      </c>
      <c r="E23" s="20">
        <f>E9-E22</f>
        <v>0</v>
      </c>
      <c r="F23" s="20">
        <f>F9-F22</f>
        <v>0</v>
      </c>
      <c r="G23" s="20">
        <f>G9-G22</f>
        <v>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E23A-D4AE-4B15-B6B0-1A7D5305DCD4}">
  <dimension ref="A1:F8"/>
  <sheetViews>
    <sheetView workbookViewId="0">
      <selection activeCell="F9" sqref="F9"/>
    </sheetView>
  </sheetViews>
  <sheetFormatPr defaultRowHeight="14.4" x14ac:dyDescent="0.3"/>
  <cols>
    <col min="1" max="1" width="31.77734375" customWidth="1"/>
    <col min="2" max="6" width="14.77734375" customWidth="1"/>
  </cols>
  <sheetData>
    <row r="1" spans="1:6" ht="15.6" x14ac:dyDescent="0.3">
      <c r="A1" s="3" t="s">
        <v>14</v>
      </c>
      <c r="B1" s="3"/>
      <c r="C1" s="3"/>
      <c r="D1" s="3"/>
      <c r="E1" s="3"/>
      <c r="F1" s="3"/>
    </row>
    <row r="2" spans="1:6" ht="15" thickBot="1" x14ac:dyDescent="0.35">
      <c r="A2" s="6" t="s">
        <v>23</v>
      </c>
      <c r="B2" s="15" t="s">
        <v>18</v>
      </c>
      <c r="C2" s="15" t="s">
        <v>19</v>
      </c>
      <c r="D2" s="15" t="s">
        <v>20</v>
      </c>
      <c r="E2" s="15" t="s">
        <v>21</v>
      </c>
      <c r="F2" s="15" t="s">
        <v>22</v>
      </c>
    </row>
    <row r="3" spans="1:6" x14ac:dyDescent="0.3">
      <c r="A3" s="13" t="s">
        <v>2</v>
      </c>
      <c r="B3" s="14">
        <v>0.08</v>
      </c>
      <c r="C3" s="14">
        <v>0.08</v>
      </c>
      <c r="D3" s="14">
        <v>7.4999999999999997E-2</v>
      </c>
      <c r="E3" s="14">
        <v>7.0000000000000007E-2</v>
      </c>
      <c r="F3" s="14">
        <v>7.0000000000000007E-2</v>
      </c>
    </row>
    <row r="4" spans="1:6" x14ac:dyDescent="0.3">
      <c r="A4" s="13" t="s">
        <v>5</v>
      </c>
      <c r="B4" s="14">
        <v>0.18</v>
      </c>
      <c r="C4" s="14">
        <v>0.185</v>
      </c>
      <c r="D4" s="14">
        <v>0.19</v>
      </c>
      <c r="E4" s="14">
        <v>0.19</v>
      </c>
      <c r="F4" s="14">
        <v>0.19500000000000001</v>
      </c>
    </row>
    <row r="5" spans="1:6" x14ac:dyDescent="0.3">
      <c r="A5" s="13" t="s">
        <v>15</v>
      </c>
      <c r="B5" s="14">
        <v>0.05</v>
      </c>
      <c r="C5" s="14">
        <v>0.05</v>
      </c>
      <c r="D5" s="14">
        <v>0.05</v>
      </c>
      <c r="E5" s="14">
        <v>0.05</v>
      </c>
      <c r="F5" s="14">
        <v>0.05</v>
      </c>
    </row>
    <row r="6" spans="1:6" x14ac:dyDescent="0.3">
      <c r="A6" s="13" t="s">
        <v>16</v>
      </c>
      <c r="B6" s="14">
        <v>2.2499999999999999E-2</v>
      </c>
      <c r="C6" s="14">
        <v>2.1999999999999999E-2</v>
      </c>
      <c r="D6" s="14">
        <v>2.1000000000000001E-2</v>
      </c>
      <c r="E6" s="14">
        <v>0.02</v>
      </c>
      <c r="F6" s="14">
        <v>0.02</v>
      </c>
    </row>
    <row r="7" spans="1:6" x14ac:dyDescent="0.3">
      <c r="A7" s="13" t="s">
        <v>17</v>
      </c>
      <c r="B7" s="14">
        <v>0.23499999999999999</v>
      </c>
      <c r="C7" s="14">
        <v>0.23499999999999999</v>
      </c>
      <c r="D7" s="14">
        <v>0.23499999999999999</v>
      </c>
      <c r="E7" s="14">
        <v>0.23499999999999999</v>
      </c>
      <c r="F7" s="14">
        <v>0.23499999999999999</v>
      </c>
    </row>
    <row r="8" spans="1:6" x14ac:dyDescent="0.3">
      <c r="A8" t="s">
        <v>47</v>
      </c>
      <c r="B8" s="14">
        <v>0.12</v>
      </c>
      <c r="C8" s="14">
        <v>0.115</v>
      </c>
      <c r="D8" s="14">
        <v>0.11</v>
      </c>
      <c r="E8" s="14">
        <v>0.105</v>
      </c>
      <c r="F8" s="14">
        <v>0.1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Cash Flow</vt:lpstr>
      <vt:lpstr>Balance Sheet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KADGE</dc:creator>
  <cp:lastModifiedBy>ATHARVA KADGE</cp:lastModifiedBy>
  <dcterms:created xsi:type="dcterms:W3CDTF">2026-06-18T21:17:22Z</dcterms:created>
  <dcterms:modified xsi:type="dcterms:W3CDTF">2026-06-19T00:36:41Z</dcterms:modified>
</cp:coreProperties>
</file>